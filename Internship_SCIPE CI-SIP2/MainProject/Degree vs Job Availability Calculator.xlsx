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<sst xmlns="http://schemas.openxmlformats.org/spreadsheetml/2006/main" count="48" uniqueCount="22">
  <si>
    <t>Degree Field</t>
  </si>
  <si>
    <t>Degree Field 1</t>
  </si>
  <si>
    <t>Degree Field 2</t>
  </si>
  <si>
    <t>Degree Count</t>
  </si>
  <si>
    <t>Employment 1</t>
  </si>
  <si>
    <t>Employment 2</t>
  </si>
  <si>
    <t>Total Employment</t>
  </si>
  <si>
    <t>Employment per 1,000 Degrees</t>
  </si>
  <si>
    <t>Employment per 1 Degree</t>
  </si>
  <si>
    <t>Job Chance %</t>
  </si>
  <si>
    <t>Degree Competition Ratio</t>
  </si>
  <si>
    <t>Rank</t>
  </si>
  <si>
    <t>Winning / Losing Degree Holder</t>
  </si>
  <si>
    <t>What this for?</t>
  </si>
  <si>
    <t>Computer Science</t>
  </si>
  <si>
    <t>&lt;for finding a job</t>
  </si>
  <si>
    <t>past degree and employment Tech only</t>
  </si>
  <si>
    <t>Computer Science + Art</t>
  </si>
  <si>
    <t>game dev industry</t>
  </si>
  <si>
    <t>Engineer</t>
  </si>
  <si>
    <t>you can add computer related industry</t>
  </si>
  <si>
    <t>after adding computer related industry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</si>
</sst>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2" numFmtId="3" xfId="0" applyAlignment="1" applyFont="1" applyNumberFormat="1">
      <alignment readingOrder="0" vertical="bottom"/>
    </xf>
    <xf borderId="0" fillId="0" fontId="2" numFmtId="3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1" numFmtId="3" xfId="0" applyFont="1" applyNumberFormat="1"/>
    <xf borderId="0" fillId="0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5" max="7" width="15.38"/>
    <col customWidth="1" min="8" max="8" width="24.63"/>
    <col customWidth="1" min="9" max="9" width="23.63"/>
    <col customWidth="1" min="11" max="11" width="27.0"/>
    <col customWidth="1" min="13" max="13" width="26.1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3" t="s">
        <v>14</v>
      </c>
      <c r="B2" s="5">
        <v>100.0</v>
      </c>
      <c r="C2" s="6"/>
      <c r="D2" s="7">
        <f t="shared" ref="D2:D6" si="1">SUM(B2:C2)</f>
        <v>100</v>
      </c>
      <c r="E2" s="5">
        <v>2.0</v>
      </c>
      <c r="F2" s="6"/>
      <c r="G2" s="8">
        <f t="shared" ref="G2:G6" si="2">SUM(E2:F2)</f>
        <v>2</v>
      </c>
      <c r="H2" s="9">
        <f t="shared" ref="H2:H6" si="3">IFERROR((G2/D2)*1000,"")</f>
        <v>20</v>
      </c>
      <c r="I2" s="9">
        <f t="shared" ref="I2:I6" si="4">IFERROR(G2/D2,"")</f>
        <v>0.02</v>
      </c>
      <c r="J2" s="10">
        <f t="shared" ref="J2:J6" si="5">IFERROR(G2/D2,"")</f>
        <v>0.02</v>
      </c>
      <c r="K2" s="9">
        <f t="shared" ref="K2:K6" si="6">IFERROR(D2/G2,"")</f>
        <v>50</v>
      </c>
      <c r="L2" s="9">
        <f t="shared" ref="L2:L6" si="7">IFERROR(_xlfn.RANK.EQ(H2,$H$2:$H$6,0),"")</f>
        <v>5</v>
      </c>
      <c r="M2" s="11" t="str">
        <f t="shared" ref="M2:M6" si="8">IF(G2&lt;D2,"Loser degree holder","Winning degree holder")</f>
        <v>Loser degree holder</v>
      </c>
      <c r="N2" s="12" t="s">
        <v>15</v>
      </c>
    </row>
    <row r="3">
      <c r="A3" s="3" t="s">
        <v>14</v>
      </c>
      <c r="B3" s="13">
        <v>2850205.0</v>
      </c>
      <c r="C3" s="13">
        <v>2850205.0</v>
      </c>
      <c r="D3" s="7">
        <f t="shared" si="1"/>
        <v>5700410</v>
      </c>
      <c r="E3" s="14">
        <v>6.9E7</v>
      </c>
      <c r="F3" s="6"/>
      <c r="G3" s="8">
        <f t="shared" si="2"/>
        <v>69000000</v>
      </c>
      <c r="H3" s="9">
        <f t="shared" si="3"/>
        <v>12104.39249</v>
      </c>
      <c r="I3" s="9">
        <f t="shared" si="4"/>
        <v>12.10439249</v>
      </c>
      <c r="J3" s="10">
        <f t="shared" si="5"/>
        <v>12.10439249</v>
      </c>
      <c r="K3" s="9">
        <f t="shared" si="6"/>
        <v>0.08261463768</v>
      </c>
      <c r="L3" s="9">
        <f t="shared" si="7"/>
        <v>4</v>
      </c>
      <c r="M3" s="11" t="str">
        <f t="shared" si="8"/>
        <v>Winning degree holder</v>
      </c>
      <c r="N3" s="12" t="s">
        <v>16</v>
      </c>
    </row>
    <row r="4">
      <c r="A4" s="3" t="s">
        <v>17</v>
      </c>
      <c r="B4" s="13">
        <v>2850205.0</v>
      </c>
      <c r="C4" s="13">
        <v>2268109.0</v>
      </c>
      <c r="D4" s="7">
        <f t="shared" si="1"/>
        <v>5118314</v>
      </c>
      <c r="E4" s="14">
        <v>6.9E7</v>
      </c>
      <c r="F4" s="14">
        <v>2609040.0</v>
      </c>
      <c r="G4" s="8">
        <f t="shared" si="2"/>
        <v>71609040</v>
      </c>
      <c r="H4" s="9">
        <f t="shared" si="3"/>
        <v>13990.74773</v>
      </c>
      <c r="I4" s="9">
        <f t="shared" si="4"/>
        <v>13.99074773</v>
      </c>
      <c r="J4" s="10">
        <f t="shared" si="5"/>
        <v>13.99074773</v>
      </c>
      <c r="K4" s="9">
        <f t="shared" si="6"/>
        <v>0.07147580808</v>
      </c>
      <c r="L4" s="9">
        <f t="shared" si="7"/>
        <v>3</v>
      </c>
      <c r="M4" s="11" t="str">
        <f t="shared" si="8"/>
        <v>Winning degree holder</v>
      </c>
      <c r="N4" s="12" t="s">
        <v>18</v>
      </c>
    </row>
    <row r="5">
      <c r="A5" s="3" t="s">
        <v>19</v>
      </c>
      <c r="B5" s="13">
        <v>2609040.0</v>
      </c>
      <c r="C5" s="6"/>
      <c r="D5" s="7">
        <f t="shared" si="1"/>
        <v>2609040</v>
      </c>
      <c r="E5" s="13">
        <v>3.96E7</v>
      </c>
      <c r="F5" s="14">
        <v>2609040.0</v>
      </c>
      <c r="G5" s="8">
        <f t="shared" si="2"/>
        <v>42209040</v>
      </c>
      <c r="H5" s="9">
        <f t="shared" si="3"/>
        <v>16177.9965</v>
      </c>
      <c r="I5" s="9">
        <f t="shared" si="4"/>
        <v>16.1779965</v>
      </c>
      <c r="J5" s="10">
        <f t="shared" si="5"/>
        <v>16.1779965</v>
      </c>
      <c r="K5" s="9">
        <f t="shared" si="6"/>
        <v>0.0618123511</v>
      </c>
      <c r="L5" s="9">
        <f t="shared" si="7"/>
        <v>2</v>
      </c>
      <c r="M5" s="11" t="str">
        <f t="shared" si="8"/>
        <v>Winning degree holder</v>
      </c>
      <c r="N5" s="12" t="s">
        <v>20</v>
      </c>
    </row>
    <row r="6">
      <c r="A6" s="3" t="s">
        <v>19</v>
      </c>
      <c r="B6" s="13">
        <v>2609040.0</v>
      </c>
      <c r="C6" s="6"/>
      <c r="D6" s="7">
        <f t="shared" si="1"/>
        <v>2609040</v>
      </c>
      <c r="E6" s="13">
        <v>3.96E7</v>
      </c>
      <c r="F6" s="14">
        <v>6.9E7</v>
      </c>
      <c r="G6" s="14">
        <f t="shared" si="2"/>
        <v>108600000</v>
      </c>
      <c r="H6" s="9">
        <f t="shared" si="3"/>
        <v>41624.50557</v>
      </c>
      <c r="I6" s="9">
        <f t="shared" si="4"/>
        <v>41.62450557</v>
      </c>
      <c r="J6" s="10">
        <f t="shared" si="5"/>
        <v>41.62450557</v>
      </c>
      <c r="K6" s="9">
        <f t="shared" si="6"/>
        <v>0.02402430939</v>
      </c>
      <c r="L6" s="9">
        <f t="shared" si="7"/>
        <v>1</v>
      </c>
      <c r="M6" s="11" t="str">
        <f t="shared" si="8"/>
        <v>Winning degree holder</v>
      </c>
      <c r="N6" s="1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4" t="s">
        <v>9</v>
      </c>
      <c r="K1" s="3" t="s">
        <v>13</v>
      </c>
      <c r="L1" s="3" t="s">
        <v>10</v>
      </c>
      <c r="M1" s="3" t="s">
        <v>11</v>
      </c>
      <c r="N1" s="3" t="s">
        <v>12</v>
      </c>
    </row>
    <row r="2">
      <c r="A2" s="3" t="s">
        <v>14</v>
      </c>
      <c r="B2" s="5">
        <v>100.0</v>
      </c>
      <c r="C2" s="6"/>
      <c r="D2" s="7">
        <f t="shared" ref="D2:D6" si="1">SUM(B2:C2)</f>
        <v>100</v>
      </c>
      <c r="E2" s="5">
        <v>2.0</v>
      </c>
      <c r="F2" s="6"/>
      <c r="G2" s="8">
        <f t="shared" ref="G2:G6" si="2">SUM(E2:F2)</f>
        <v>2</v>
      </c>
      <c r="H2" s="9">
        <f t="shared" ref="H2:H6" si="3">IFERROR((G2/D2)*1000,"")</f>
        <v>20</v>
      </c>
      <c r="I2" s="9">
        <f t="shared" ref="I2:I6" si="4">IFERROR(G2/D2,"")</f>
        <v>0.02</v>
      </c>
      <c r="J2" s="10">
        <f t="shared" ref="J2:J6" si="5">IFERROR(G2/D2,"")</f>
        <v>0.02</v>
      </c>
      <c r="K2" s="12" t="s">
        <v>15</v>
      </c>
      <c r="L2" s="9">
        <f t="shared" ref="L2:L6" si="6">IFERROR(D2/G2,"")</f>
        <v>50</v>
      </c>
      <c r="M2" s="9">
        <f t="shared" ref="M2:M6" si="7">IFERROR(_xlfn.RANK.EQ(H2,$H$2:$H$6,0),"")</f>
        <v>5</v>
      </c>
      <c r="N2" s="11" t="str">
        <f t="shared" ref="N2:N6" si="8">IF(G2&lt;D2,"Loser degree holder","Winning degree holder")</f>
        <v>Loser degree holder</v>
      </c>
    </row>
    <row r="3">
      <c r="A3" s="3" t="s">
        <v>14</v>
      </c>
      <c r="B3" s="13">
        <v>2850205.0</v>
      </c>
      <c r="C3" s="13">
        <v>2850205.0</v>
      </c>
      <c r="D3" s="7">
        <f t="shared" si="1"/>
        <v>5700410</v>
      </c>
      <c r="E3" s="14">
        <v>6.9E7</v>
      </c>
      <c r="F3" s="6"/>
      <c r="G3" s="8">
        <f t="shared" si="2"/>
        <v>69000000</v>
      </c>
      <c r="H3" s="9">
        <f t="shared" si="3"/>
        <v>12104.39249</v>
      </c>
      <c r="I3" s="9">
        <f t="shared" si="4"/>
        <v>12.10439249</v>
      </c>
      <c r="J3" s="10">
        <f t="shared" si="5"/>
        <v>12.10439249</v>
      </c>
      <c r="K3" s="12" t="s">
        <v>16</v>
      </c>
      <c r="L3" s="9">
        <f t="shared" si="6"/>
        <v>0.08261463768</v>
      </c>
      <c r="M3" s="9">
        <f t="shared" si="7"/>
        <v>4</v>
      </c>
      <c r="N3" s="11" t="str">
        <f t="shared" si="8"/>
        <v>Winning degree holder</v>
      </c>
    </row>
    <row r="4">
      <c r="A4" s="3" t="s">
        <v>17</v>
      </c>
      <c r="B4" s="13">
        <v>2850205.0</v>
      </c>
      <c r="C4" s="13">
        <v>2268109.0</v>
      </c>
      <c r="D4" s="7">
        <f t="shared" si="1"/>
        <v>5118314</v>
      </c>
      <c r="E4" s="14">
        <v>6.9E7</v>
      </c>
      <c r="F4" s="14">
        <v>2609040.0</v>
      </c>
      <c r="G4" s="8">
        <f t="shared" si="2"/>
        <v>71609040</v>
      </c>
      <c r="H4" s="9">
        <f t="shared" si="3"/>
        <v>13990.74773</v>
      </c>
      <c r="I4" s="9">
        <f t="shared" si="4"/>
        <v>13.99074773</v>
      </c>
      <c r="J4" s="10">
        <f t="shared" si="5"/>
        <v>13.99074773</v>
      </c>
      <c r="K4" s="12" t="s">
        <v>18</v>
      </c>
      <c r="L4" s="9">
        <f t="shared" si="6"/>
        <v>0.07147580808</v>
      </c>
      <c r="M4" s="9">
        <f t="shared" si="7"/>
        <v>3</v>
      </c>
      <c r="N4" s="11" t="str">
        <f t="shared" si="8"/>
        <v>Winning degree holder</v>
      </c>
    </row>
    <row r="5">
      <c r="A5" s="3" t="s">
        <v>19</v>
      </c>
      <c r="B5" s="13">
        <v>2609040.0</v>
      </c>
      <c r="C5" s="6"/>
      <c r="D5" s="7">
        <f t="shared" si="1"/>
        <v>2609040</v>
      </c>
      <c r="E5" s="13">
        <v>3.96E7</v>
      </c>
      <c r="F5" s="14">
        <v>2609040.0</v>
      </c>
      <c r="G5" s="8">
        <f t="shared" si="2"/>
        <v>42209040</v>
      </c>
      <c r="H5" s="9">
        <f t="shared" si="3"/>
        <v>16177.9965</v>
      </c>
      <c r="I5" s="9">
        <f t="shared" si="4"/>
        <v>16.1779965</v>
      </c>
      <c r="J5" s="10">
        <f t="shared" si="5"/>
        <v>16.1779965</v>
      </c>
      <c r="K5" s="12" t="s">
        <v>20</v>
      </c>
      <c r="L5" s="9">
        <f t="shared" si="6"/>
        <v>0.0618123511</v>
      </c>
      <c r="M5" s="9">
        <f t="shared" si="7"/>
        <v>2</v>
      </c>
      <c r="N5" s="11" t="str">
        <f t="shared" si="8"/>
        <v>Winning degree holder</v>
      </c>
    </row>
    <row r="6">
      <c r="A6" s="3" t="s">
        <v>19</v>
      </c>
      <c r="B6" s="13">
        <v>2609040.0</v>
      </c>
      <c r="C6" s="6"/>
      <c r="D6" s="7">
        <f t="shared" si="1"/>
        <v>2609040</v>
      </c>
      <c r="E6" s="13">
        <v>3.96E7</v>
      </c>
      <c r="F6" s="14">
        <v>6.9E7</v>
      </c>
      <c r="G6" s="14">
        <f t="shared" si="2"/>
        <v>108600000</v>
      </c>
      <c r="H6" s="9">
        <f t="shared" si="3"/>
        <v>41624.50557</v>
      </c>
      <c r="I6" s="9">
        <f t="shared" si="4"/>
        <v>41.62450557</v>
      </c>
      <c r="J6" s="10">
        <f t="shared" si="5"/>
        <v>41.62450557</v>
      </c>
      <c r="K6" s="12" t="s">
        <v>21</v>
      </c>
      <c r="L6" s="9">
        <f t="shared" si="6"/>
        <v>0.02402430939</v>
      </c>
      <c r="M6" s="9">
        <f t="shared" si="7"/>
        <v>1</v>
      </c>
      <c r="N6" s="11" t="str">
        <f t="shared" si="8"/>
        <v>Winning degree holder</v>
      </c>
    </row>
  </sheetData>
  <drawing r:id="rId1"/>
</worksheet>
</file>