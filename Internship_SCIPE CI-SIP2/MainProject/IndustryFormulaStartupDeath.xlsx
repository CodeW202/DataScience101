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<sst xmlns="http://schemas.openxmlformats.org/spreadsheetml/2006/main" count="24" uniqueCount="24">
  <si>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#</t>
  </si>
  <si>
    <t>Industry</t>
  </si>
  <si>
    <t>Startup</t>
  </si>
  <si>
    <t>Death</t>
  </si>
  <si>
    <t>Total Activity</t>
  </si>
  <si>
    <t>Startup %</t>
  </si>
  <si>
    <t>Death %</t>
  </si>
  <si>
    <t>Net</t>
  </si>
  <si>
    <t>Net % of Total Activity</t>
  </si>
  <si>
    <t>Summary</t>
  </si>
  <si>
    <t>Professional/business</t>
  </si>
  <si>
    <t>Leisure/hospitality</t>
  </si>
  <si>
    <t>Education/health</t>
  </si>
  <si>
    <t>Construction</t>
  </si>
  <si>
    <t>Retail trade</t>
  </si>
  <si>
    <t>Financial activities</t>
  </si>
  <si>
    <t>Other services</t>
  </si>
  <si>
    <t>Wholesale trade</t>
  </si>
  <si>
    <t>Manufacturing</t>
  </si>
  <si>
    <t>Transportation/warehousing</t>
  </si>
  <si>
    <t>Information</t>
  </si>
  <si>
    <t>Natural resources/mining</t>
  </si>
  <si>
    <t>Utilities</t>
  </si>
  <si>
    <t>Overall all industries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</si>
</sst>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BFFE7"/>
        <bgColor rgb="FFEBFFE7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3" xfId="0" applyFont="1" applyNumberFormat="1"/>
    <xf borderId="0" fillId="2" fontId="1" numFmtId="10" xfId="0" applyFont="1" applyNumberFormat="1"/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3" xfId="0" applyAlignment="1" applyFont="1" applyNumberFormat="1">
      <alignment readingOrder="0"/>
    </xf>
    <xf borderId="0" fillId="3" fontId="1" numFmtId="3" xfId="0" applyFont="1" applyNumberFormat="1"/>
    <xf borderId="0" fillId="3" fontId="1" numFmtId="10" xfId="0" applyFont="1" applyNumberFormat="1"/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3" xfId="0" applyFont="1" applyNumberFormat="1"/>
    <xf borderId="0" fillId="4" fontId="1" numFmtId="10" xfId="0" applyFont="1" applyNumberForma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9" max="9" width="18.75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2">
        <v>74706.0</v>
      </c>
      <c r="D2" s="2">
        <v>71061.0</v>
      </c>
      <c r="E2" s="3">
        <f t="shared" ref="E2:E15" si="1">C2+D2</f>
        <v>145767</v>
      </c>
      <c r="F2" s="4">
        <f t="shared" ref="F2:F15" si="2">C2/E2</f>
        <v>0.5125028299</v>
      </c>
      <c r="G2" s="4">
        <f t="shared" ref="G2:G15" si="3">D2/E2</f>
        <v>0.4874971701</v>
      </c>
      <c r="H2" s="3">
        <f t="shared" ref="H2:H15" si="4">C2-D2</f>
        <v>3645</v>
      </c>
      <c r="I2" s="4">
        <f t="shared" ref="I2:I15" si="5">H2/E2</f>
        <v>0.02500565972</v>
      </c>
      <c r="J2" s="5" t="str">
        <f t="shared" ref="J2:J15" si="6">IF(H2&gt;0,"Positive growth",IF(H2&lt;0,"Negative growth","No net change"))</f>
        <v>Positive growth</v>
      </c>
    </row>
    <row r="3">
      <c r="A3" s="1">
        <v>2.0</v>
      </c>
      <c r="B3" s="1" t="s">
        <v>11</v>
      </c>
      <c r="C3" s="2">
        <v>62707.0</v>
      </c>
      <c r="D3" s="2">
        <v>48758.0</v>
      </c>
      <c r="E3" s="3">
        <f t="shared" si="1"/>
        <v>111465</v>
      </c>
      <c r="F3" s="4">
        <f t="shared" si="2"/>
        <v>0.5625712107</v>
      </c>
      <c r="G3" s="4">
        <f t="shared" si="3"/>
        <v>0.4374287893</v>
      </c>
      <c r="H3" s="3">
        <f t="shared" si="4"/>
        <v>13949</v>
      </c>
      <c r="I3" s="4">
        <f t="shared" si="5"/>
        <v>0.1251424214</v>
      </c>
      <c r="J3" s="5" t="str">
        <f t="shared" si="6"/>
        <v>Positive growth</v>
      </c>
    </row>
    <row r="4">
      <c r="A4" s="1">
        <v>3.0</v>
      </c>
      <c r="B4" s="1" t="s">
        <v>12</v>
      </c>
      <c r="C4" s="2">
        <v>52818.0</v>
      </c>
      <c r="D4" s="2">
        <v>48635.0</v>
      </c>
      <c r="E4" s="3">
        <f t="shared" si="1"/>
        <v>101453</v>
      </c>
      <c r="F4" s="4">
        <f t="shared" si="2"/>
        <v>0.5206154574</v>
      </c>
      <c r="G4" s="4">
        <f t="shared" si="3"/>
        <v>0.4793845426</v>
      </c>
      <c r="H4" s="3">
        <f t="shared" si="4"/>
        <v>4183</v>
      </c>
      <c r="I4" s="4">
        <f t="shared" si="5"/>
        <v>0.04123091481</v>
      </c>
      <c r="J4" s="5" t="str">
        <f t="shared" si="6"/>
        <v>Positive growth</v>
      </c>
    </row>
    <row r="5">
      <c r="A5" s="1">
        <v>4.0</v>
      </c>
      <c r="B5" s="1" t="s">
        <v>13</v>
      </c>
      <c r="C5" s="2">
        <v>32032.0</v>
      </c>
      <c r="D5" s="2">
        <v>30579.0</v>
      </c>
      <c r="E5" s="3">
        <f t="shared" si="1"/>
        <v>62611</v>
      </c>
      <c r="F5" s="4">
        <f t="shared" si="2"/>
        <v>0.5116033924</v>
      </c>
      <c r="G5" s="4">
        <f t="shared" si="3"/>
        <v>0.4883966076</v>
      </c>
      <c r="H5" s="3">
        <f t="shared" si="4"/>
        <v>1453</v>
      </c>
      <c r="I5" s="4">
        <f t="shared" si="5"/>
        <v>0.02320678475</v>
      </c>
      <c r="J5" s="5" t="str">
        <f t="shared" si="6"/>
        <v>Positive growth</v>
      </c>
    </row>
    <row r="6">
      <c r="A6" s="1">
        <v>5.0</v>
      </c>
      <c r="B6" s="1" t="s">
        <v>14</v>
      </c>
      <c r="C6" s="2">
        <v>31013.0</v>
      </c>
      <c r="D6" s="2">
        <v>29492.0</v>
      </c>
      <c r="E6" s="3">
        <f t="shared" si="1"/>
        <v>60505</v>
      </c>
      <c r="F6" s="4">
        <f t="shared" si="2"/>
        <v>0.5125692092</v>
      </c>
      <c r="G6" s="4">
        <f t="shared" si="3"/>
        <v>0.4874307908</v>
      </c>
      <c r="H6" s="3">
        <f t="shared" si="4"/>
        <v>1521</v>
      </c>
      <c r="I6" s="4">
        <f t="shared" si="5"/>
        <v>0.02513841831</v>
      </c>
      <c r="J6" s="5" t="str">
        <f t="shared" si="6"/>
        <v>Positive growth</v>
      </c>
    </row>
    <row r="7">
      <c r="A7" s="6">
        <v>6.0</v>
      </c>
      <c r="B7" s="6" t="s">
        <v>15</v>
      </c>
      <c r="C7" s="7">
        <v>23443.0</v>
      </c>
      <c r="D7" s="7">
        <v>23884.0</v>
      </c>
      <c r="E7" s="8">
        <f t="shared" si="1"/>
        <v>47327</v>
      </c>
      <c r="F7" s="9">
        <f t="shared" si="2"/>
        <v>0.4953409259</v>
      </c>
      <c r="G7" s="9">
        <f t="shared" si="3"/>
        <v>0.5046590741</v>
      </c>
      <c r="H7" s="8">
        <f t="shared" si="4"/>
        <v>-441</v>
      </c>
      <c r="I7" s="9">
        <f t="shared" si="5"/>
        <v>-0.009318148203</v>
      </c>
      <c r="J7" s="10" t="str">
        <f t="shared" si="6"/>
        <v>Negative growth</v>
      </c>
    </row>
    <row r="8">
      <c r="A8" s="1">
        <v>7.0</v>
      </c>
      <c r="B8" s="1" t="s">
        <v>16</v>
      </c>
      <c r="C8" s="2">
        <v>17471.0</v>
      </c>
      <c r="D8" s="2">
        <v>16890.0</v>
      </c>
      <c r="E8" s="3">
        <f t="shared" si="1"/>
        <v>34361</v>
      </c>
      <c r="F8" s="4">
        <f t="shared" si="2"/>
        <v>0.5084543523</v>
      </c>
      <c r="G8" s="4">
        <f t="shared" si="3"/>
        <v>0.4915456477</v>
      </c>
      <c r="H8" s="3">
        <f t="shared" si="4"/>
        <v>581</v>
      </c>
      <c r="I8" s="4">
        <f t="shared" si="5"/>
        <v>0.01690870464</v>
      </c>
      <c r="J8" s="5" t="str">
        <f t="shared" si="6"/>
        <v>Positive growth</v>
      </c>
    </row>
    <row r="9">
      <c r="A9" s="6">
        <v>8.0</v>
      </c>
      <c r="B9" s="6" t="s">
        <v>17</v>
      </c>
      <c r="C9" s="7">
        <v>14145.0</v>
      </c>
      <c r="D9" s="7">
        <v>15798.0</v>
      </c>
      <c r="E9" s="8">
        <f t="shared" si="1"/>
        <v>29943</v>
      </c>
      <c r="F9" s="9">
        <f t="shared" si="2"/>
        <v>0.4723975554</v>
      </c>
      <c r="G9" s="9">
        <f t="shared" si="3"/>
        <v>0.5276024446</v>
      </c>
      <c r="H9" s="8">
        <f t="shared" si="4"/>
        <v>-1653</v>
      </c>
      <c r="I9" s="9">
        <f t="shared" si="5"/>
        <v>-0.05520488929</v>
      </c>
      <c r="J9" s="10" t="str">
        <f t="shared" si="6"/>
        <v>Negative growth</v>
      </c>
    </row>
    <row r="10">
      <c r="A10" s="6">
        <v>9.0</v>
      </c>
      <c r="B10" s="6" t="s">
        <v>18</v>
      </c>
      <c r="C10" s="7">
        <v>9905.0</v>
      </c>
      <c r="D10" s="7">
        <v>11606.0</v>
      </c>
      <c r="E10" s="8">
        <f t="shared" si="1"/>
        <v>21511</v>
      </c>
      <c r="F10" s="9">
        <f t="shared" si="2"/>
        <v>0.4604620892</v>
      </c>
      <c r="G10" s="9">
        <f t="shared" si="3"/>
        <v>0.5395379108</v>
      </c>
      <c r="H10" s="8">
        <f t="shared" si="4"/>
        <v>-1701</v>
      </c>
      <c r="I10" s="9">
        <f t="shared" si="5"/>
        <v>-0.07907582167</v>
      </c>
      <c r="J10" s="10" t="str">
        <f t="shared" si="6"/>
        <v>Negative growth</v>
      </c>
    </row>
    <row r="11">
      <c r="A11" s="1">
        <v>10.0</v>
      </c>
      <c r="B11" s="1" t="s">
        <v>19</v>
      </c>
      <c r="C11" s="2">
        <v>11421.0</v>
      </c>
      <c r="D11" s="2">
        <v>10072.0</v>
      </c>
      <c r="E11" s="3">
        <f t="shared" si="1"/>
        <v>21493</v>
      </c>
      <c r="F11" s="4">
        <f t="shared" si="2"/>
        <v>0.5313823105</v>
      </c>
      <c r="G11" s="4">
        <f t="shared" si="3"/>
        <v>0.4686176895</v>
      </c>
      <c r="H11" s="3">
        <f t="shared" si="4"/>
        <v>1349</v>
      </c>
      <c r="I11" s="4">
        <f t="shared" si="5"/>
        <v>0.06276462104</v>
      </c>
      <c r="J11" s="5" t="str">
        <f t="shared" si="6"/>
        <v>Positive growth</v>
      </c>
    </row>
    <row r="12">
      <c r="A12" s="1">
        <v>11.0</v>
      </c>
      <c r="B12" s="1" t="s">
        <v>20</v>
      </c>
      <c r="C12" s="2">
        <v>7637.0</v>
      </c>
      <c r="D12" s="2">
        <v>7445.0</v>
      </c>
      <c r="E12" s="3">
        <f t="shared" si="1"/>
        <v>15082</v>
      </c>
      <c r="F12" s="4">
        <f t="shared" si="2"/>
        <v>0.5063652036</v>
      </c>
      <c r="G12" s="4">
        <f t="shared" si="3"/>
        <v>0.4936347964</v>
      </c>
      <c r="H12" s="3">
        <f t="shared" si="4"/>
        <v>192</v>
      </c>
      <c r="I12" s="4">
        <f t="shared" si="5"/>
        <v>0.01273040711</v>
      </c>
      <c r="J12" s="5" t="str">
        <f t="shared" si="6"/>
        <v>Positive growth</v>
      </c>
    </row>
    <row r="13">
      <c r="A13" s="1">
        <v>12.0</v>
      </c>
      <c r="B13" s="1" t="s">
        <v>21</v>
      </c>
      <c r="C13" s="2">
        <v>6946.0</v>
      </c>
      <c r="D13" s="2">
        <v>6545.0</v>
      </c>
      <c r="E13" s="3">
        <f t="shared" si="1"/>
        <v>13491</v>
      </c>
      <c r="F13" s="4">
        <f t="shared" si="2"/>
        <v>0.5148617597</v>
      </c>
      <c r="G13" s="4">
        <f t="shared" si="3"/>
        <v>0.4851382403</v>
      </c>
      <c r="H13" s="3">
        <f t="shared" si="4"/>
        <v>401</v>
      </c>
      <c r="I13" s="4">
        <f t="shared" si="5"/>
        <v>0.02972351938</v>
      </c>
      <c r="J13" s="5" t="str">
        <f t="shared" si="6"/>
        <v>Positive growth</v>
      </c>
    </row>
    <row r="14">
      <c r="A14" s="1">
        <v>13.0</v>
      </c>
      <c r="B14" s="1" t="s">
        <v>22</v>
      </c>
      <c r="C14" s="2">
        <v>406.0</v>
      </c>
      <c r="D14" s="2">
        <v>342.0</v>
      </c>
      <c r="E14" s="3">
        <f t="shared" si="1"/>
        <v>748</v>
      </c>
      <c r="F14" s="4">
        <f t="shared" si="2"/>
        <v>0.5427807487</v>
      </c>
      <c r="G14" s="4">
        <f t="shared" si="3"/>
        <v>0.4572192513</v>
      </c>
      <c r="H14" s="3">
        <f t="shared" si="4"/>
        <v>64</v>
      </c>
      <c r="I14" s="4">
        <f t="shared" si="5"/>
        <v>0.08556149733</v>
      </c>
      <c r="J14" s="5" t="str">
        <f t="shared" si="6"/>
        <v>Positive growth</v>
      </c>
    </row>
    <row r="15">
      <c r="A15" s="11">
        <v>14.0</v>
      </c>
      <c r="B15" s="11" t="s">
        <v>23</v>
      </c>
      <c r="C15" s="12">
        <f t="shared" ref="C15:D15" si="7">SUM(C2:C14)</f>
        <v>344650</v>
      </c>
      <c r="D15" s="12">
        <f t="shared" si="7"/>
        <v>321107</v>
      </c>
      <c r="E15" s="12">
        <f t="shared" si="1"/>
        <v>665757</v>
      </c>
      <c r="F15" s="13">
        <f t="shared" si="2"/>
        <v>0.5176813762</v>
      </c>
      <c r="G15" s="13">
        <f t="shared" si="3"/>
        <v>0.4823186238</v>
      </c>
      <c r="H15" s="12">
        <f t="shared" si="4"/>
        <v>23543</v>
      </c>
      <c r="I15" s="13">
        <f t="shared" si="5"/>
        <v>0.03536275248</v>
      </c>
      <c r="J15" s="14" t="str">
        <f t="shared" si="6"/>
        <v>Positive growth</v>
      </c>
    </row>
  </sheetData>
  <drawing r:id="rId1"/>
</worksheet>
</file>